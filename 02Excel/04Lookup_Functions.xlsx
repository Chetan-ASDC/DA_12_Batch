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tan Sharma\Desktop\ASDC\DA_12_Batch\02Excel\"/>
    </mc:Choice>
  </mc:AlternateContent>
  <xr:revisionPtr revIDLastSave="0" documentId="13_ncr:1_{0C57FB54-695D-42B4-992A-876265E8FA2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f" sheetId="12" r:id="rId1"/>
    <sheet name="VLOOKUP_Basics" sheetId="1" r:id="rId2"/>
    <sheet name="HLOOKUP_Basics" sheetId="2" r:id="rId3"/>
    <sheet name="XLOOKUP_Basics" sheetId="3" r:id="rId4"/>
    <sheet name="Another" sheetId="7" r:id="rId5"/>
    <sheet name="Task" sheetId="9" r:id="rId6"/>
  </sheets>
  <definedNames>
    <definedName name="_xlnm._FilterDatabase" localSheetId="3" hidden="1">XLOOKUP_Basics!$A$1:$A$12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7" l="1"/>
  <c r="C3" i="7"/>
  <c r="B3" i="7"/>
  <c r="B9" i="3" a="1"/>
  <c r="B9" i="3" s="1"/>
  <c r="H4" i="3"/>
  <c r="H8" i="3"/>
  <c r="H10" i="1"/>
  <c r="H11" i="1"/>
  <c r="H5" i="2"/>
  <c r="G5" i="2"/>
  <c r="C11" i="1"/>
  <c r="D11" i="1"/>
  <c r="B11" i="1"/>
  <c r="B8" i="1"/>
  <c r="C8" i="1"/>
  <c r="D8" i="1"/>
  <c r="A8" i="1"/>
  <c r="H5" i="1"/>
  <c r="F1" i="12"/>
  <c r="E1" i="12"/>
  <c r="D1" i="12"/>
  <c r="D2" i="12"/>
  <c r="D3" i="12"/>
  <c r="D4" i="12"/>
  <c r="D5" i="12"/>
  <c r="D6" i="12"/>
  <c r="D7" i="12"/>
  <c r="D8" i="12"/>
  <c r="D9" i="12"/>
  <c r="D10" i="12"/>
  <c r="D11" i="12"/>
  <c r="C12" i="12"/>
  <c r="C5" i="12"/>
  <c r="C2" i="12"/>
  <c r="C3" i="12"/>
  <c r="C4" i="12"/>
  <c r="C6" i="12"/>
  <c r="C7" i="12"/>
  <c r="C8" i="12"/>
  <c r="C9" i="12"/>
  <c r="C10" i="12"/>
  <c r="C11" i="12"/>
  <c r="C1" i="12"/>
  <c r="P6" i="9"/>
  <c r="O6" i="9"/>
  <c r="Q6" i="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<sst xmlns="http://schemas.openxmlformats.org/spreadsheetml/2006/main" count="134" uniqueCount="71">
  <si>
    <t>ProductID</t>
  </si>
  <si>
    <t>ProductName</t>
  </si>
  <si>
    <t>Price</t>
  </si>
  <si>
    <t>Category</t>
  </si>
  <si>
    <t>Pen</t>
  </si>
  <si>
    <t>Notebook</t>
  </si>
  <si>
    <t>Eraser</t>
  </si>
  <si>
    <t>Marker</t>
  </si>
  <si>
    <t>Stationery</t>
  </si>
  <si>
    <t>Quarter</t>
  </si>
  <si>
    <t>Sales</t>
  </si>
  <si>
    <t>Q1</t>
  </si>
  <si>
    <t>Q2</t>
  </si>
  <si>
    <t>Q3</t>
  </si>
  <si>
    <t>Q4</t>
  </si>
  <si>
    <t>EmployeeID</t>
  </si>
  <si>
    <t>Name</t>
  </si>
  <si>
    <t>Department</t>
  </si>
  <si>
    <t>Salary</t>
  </si>
  <si>
    <t>JoiningDate</t>
  </si>
  <si>
    <t>Alice</t>
  </si>
  <si>
    <t>Bob</t>
  </si>
  <si>
    <t>Carol</t>
  </si>
  <si>
    <t>David</t>
  </si>
  <si>
    <t>HR</t>
  </si>
  <si>
    <t>Finance</t>
  </si>
  <si>
    <t>IT</t>
  </si>
  <si>
    <t>Marketing</t>
  </si>
  <si>
    <t>2023-01-10</t>
  </si>
  <si>
    <t>2022-11-05</t>
  </si>
  <si>
    <t>2023-03-15</t>
  </si>
  <si>
    <t>2021-07-20</t>
  </si>
  <si>
    <t>Quantity</t>
  </si>
  <si>
    <t>What to Find:</t>
  </si>
  <si>
    <t>1. Price of a product by its ProductID</t>
  </si>
  <si>
    <t>2. Category of a product by its ProductID</t>
  </si>
  <si>
    <t>ProductId</t>
  </si>
  <si>
    <t>1. Sales value for a given quarter (e.g., Q2)</t>
  </si>
  <si>
    <t>1. Name of employee by ID</t>
  </si>
  <si>
    <t>2. Salary of employee by Name</t>
  </si>
  <si>
    <t>3. All Data</t>
  </si>
  <si>
    <t>4. All Data</t>
  </si>
  <si>
    <t>VLOOKUP($A$11,$A$1:$D$5,COLUMNS($A$10:B10),0)</t>
  </si>
  <si>
    <t>HLOOKUP($F$5,$A$1:$E$3,COLUMNS($F$4:G4),0)</t>
  </si>
  <si>
    <t>E101</t>
  </si>
  <si>
    <t>E102</t>
  </si>
  <si>
    <t>E103</t>
  </si>
  <si>
    <t>E104</t>
  </si>
  <si>
    <t>E105</t>
  </si>
  <si>
    <t>Location</t>
  </si>
  <si>
    <t>Rahul Sharma</t>
  </si>
  <si>
    <t>Mumbai</t>
  </si>
  <si>
    <t>Ananya Gupta</t>
  </si>
  <si>
    <t>Delhi</t>
  </si>
  <si>
    <t>Rohit Verma</t>
  </si>
  <si>
    <t>Bangalore</t>
  </si>
  <si>
    <t>Neha Singh</t>
  </si>
  <si>
    <t>Pune</t>
  </si>
  <si>
    <t>Aman Kumar</t>
  </si>
  <si>
    <t>E106</t>
  </si>
  <si>
    <t>Pooja Mehta</t>
  </si>
  <si>
    <t>Chennai</t>
  </si>
  <si>
    <t>JoiningYear</t>
  </si>
  <si>
    <t>E107</t>
  </si>
  <si>
    <t>Suresh Rao</t>
  </si>
  <si>
    <t>Hyderabad</t>
  </si>
  <si>
    <t>E108</t>
  </si>
  <si>
    <t>Kavita Iyer</t>
  </si>
  <si>
    <t>Bonus %</t>
  </si>
  <si>
    <t>Calculate Bonus Amount for employee E104
(Bonus Amount = Salary × Bonus %).</t>
  </si>
  <si>
    <t>Bonus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</si>
</sst>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Segoe UI"/>
      <family val="2"/>
    </font>
    <font>
      <sz val="12"/>
      <name val="Segoe U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9" fontId="5" fillId="5" borderId="3" xfId="1" applyFont="1" applyFill="1" applyBorder="1" applyAlignment="1">
      <alignment horizontal="right" vertical="center"/>
    </xf>
    <xf numFmtId="9" fontId="4" fillId="2" borderId="3" xfId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right" vertical="center"/>
    </xf>
    <xf numFmtId="9" fontId="5" fillId="2" borderId="3" xfId="1" applyFont="1" applyFill="1" applyBorder="1" applyAlignment="1">
      <alignment horizontal="left" vertical="center"/>
    </xf>
    <xf numFmtId="10" fontId="0" fillId="0" borderId="0" xfId="0" applyNumberFormat="1"/>
    <xf numFmtId="0" fontId="6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9" fontId="0" fillId="0" borderId="0" xfId="1" applyFont="1"/>
    <xf numFmtId="0" fontId="0" fillId="3" borderId="1" xfId="0" applyFill="1" applyBorder="1" applyAlignment="1">
      <alignment horizontal="left"/>
    </xf>
    <xf numFmtId="0" fontId="0" fillId="7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C163-774F-46AC-B7B7-78108186313E}">
  <dimension ref="A1:J12"/>
  <sheetViews>
    <sheetView zoomScale="145" zoomScaleNormal="145" workbookViewId="0">
      <selection activeCell="F1" sqref="F1"/>
    </sheetView>
  </sheetViews>
  <sheetFormatPr defaultRowHeight="15" x14ac:dyDescent="0.25"/>
  <sheetData>
    <row r="1" spans="1:10" x14ac:dyDescent="0.25">
      <c r="A1">
        <v>1</v>
      </c>
      <c r="B1">
        <v>5</v>
      </c>
      <c r="C1">
        <f>A1+B1</f>
        <v>6</v>
      </c>
      <c r="D1">
        <f>A1+H$2</f>
        <v>21</v>
      </c>
      <c r="E1">
        <f t="shared" ref="E1:F1" si="0">B1+I$2</f>
        <v>30</v>
      </c>
      <c r="F1">
        <f>C1+J$2</f>
        <v>36</v>
      </c>
    </row>
    <row r="2" spans="1:10" x14ac:dyDescent="0.25">
      <c r="A2">
        <v>2</v>
      </c>
      <c r="B2">
        <v>5</v>
      </c>
      <c r="C2">
        <f t="shared" ref="C2:C12" si="1">A2+B2</f>
        <v>7</v>
      </c>
      <c r="D2">
        <f t="shared" ref="D2:D11" si="2">A2+H$2</f>
        <v>22</v>
      </c>
      <c r="H2">
        <v>20</v>
      </c>
      <c r="I2">
        <v>25</v>
      </c>
      <c r="J2">
        <v>30</v>
      </c>
    </row>
    <row r="3" spans="1:10" x14ac:dyDescent="0.25">
      <c r="A3">
        <v>3</v>
      </c>
      <c r="B3">
        <v>5</v>
      </c>
      <c r="C3">
        <f t="shared" si="1"/>
        <v>8</v>
      </c>
      <c r="D3">
        <f t="shared" si="2"/>
        <v>23</v>
      </c>
      <c r="H3">
        <v>21</v>
      </c>
    </row>
    <row r="4" spans="1:10" x14ac:dyDescent="0.25">
      <c r="A4">
        <v>4</v>
      </c>
      <c r="B4">
        <v>5</v>
      </c>
      <c r="C4">
        <f t="shared" si="1"/>
        <v>9</v>
      </c>
      <c r="D4">
        <f t="shared" si="2"/>
        <v>24</v>
      </c>
    </row>
    <row r="5" spans="1:10" x14ac:dyDescent="0.25">
      <c r="A5">
        <v>5</v>
      </c>
      <c r="B5">
        <v>5</v>
      </c>
      <c r="C5">
        <f>A5+B5</f>
        <v>10</v>
      </c>
      <c r="D5">
        <f t="shared" si="2"/>
        <v>25</v>
      </c>
    </row>
    <row r="6" spans="1:10" x14ac:dyDescent="0.25">
      <c r="A6">
        <v>6</v>
      </c>
      <c r="B6">
        <v>5</v>
      </c>
      <c r="C6">
        <f t="shared" si="1"/>
        <v>11</v>
      </c>
      <c r="D6">
        <f t="shared" si="2"/>
        <v>26</v>
      </c>
    </row>
    <row r="7" spans="1:10" x14ac:dyDescent="0.25">
      <c r="A7">
        <v>7</v>
      </c>
      <c r="B7">
        <v>5</v>
      </c>
      <c r="C7">
        <f t="shared" si="1"/>
        <v>12</v>
      </c>
      <c r="D7">
        <f t="shared" si="2"/>
        <v>27</v>
      </c>
    </row>
    <row r="8" spans="1:10" x14ac:dyDescent="0.25">
      <c r="A8">
        <v>8</v>
      </c>
      <c r="B8">
        <v>5</v>
      </c>
      <c r="C8">
        <f t="shared" si="1"/>
        <v>13</v>
      </c>
      <c r="D8">
        <f t="shared" si="2"/>
        <v>28</v>
      </c>
    </row>
    <row r="9" spans="1:10" x14ac:dyDescent="0.25">
      <c r="A9">
        <v>9</v>
      </c>
      <c r="B9">
        <v>5</v>
      </c>
      <c r="C9">
        <f t="shared" si="1"/>
        <v>14</v>
      </c>
      <c r="D9">
        <f t="shared" si="2"/>
        <v>29</v>
      </c>
    </row>
    <row r="10" spans="1:10" x14ac:dyDescent="0.25">
      <c r="A10">
        <v>10</v>
      </c>
      <c r="B10">
        <v>5</v>
      </c>
      <c r="C10">
        <f t="shared" si="1"/>
        <v>15</v>
      </c>
      <c r="D10">
        <f t="shared" si="2"/>
        <v>30</v>
      </c>
    </row>
    <row r="11" spans="1:10" x14ac:dyDescent="0.25">
      <c r="A11">
        <v>11</v>
      </c>
      <c r="B11">
        <v>5</v>
      </c>
      <c r="C11">
        <f t="shared" si="1"/>
        <v>16</v>
      </c>
      <c r="D11">
        <f t="shared" si="2"/>
        <v>31</v>
      </c>
    </row>
    <row r="12" spans="1:10" x14ac:dyDescent="0.25">
      <c r="B12">
        <v>5</v>
      </c>
      <c r="C12">
        <f>A12+B12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A2" zoomScale="174" zoomScaleNormal="145" workbookViewId="0">
      <selection activeCell="E3" sqref="E3"/>
    </sheetView>
  </sheetViews>
  <sheetFormatPr defaultRowHeight="15" x14ac:dyDescent="0.25"/>
  <cols>
    <col min="1" max="1" width="9.7109375" style="3" bestFit="1" customWidth="1"/>
    <col min="2" max="2" width="13.28515625" style="3" bestFit="1" customWidth="1"/>
    <col min="3" max="3" width="5.42578125" style="3" bestFit="1" customWidth="1"/>
    <col min="4" max="4" width="15.5703125" style="3" customWidth="1"/>
    <col min="5" max="6" width="9.140625" style="3"/>
    <col min="7" max="7" width="15.140625" style="3" customWidth="1"/>
    <col min="8" max="8" width="15.7109375" style="3" customWidth="1"/>
    <col min="9" max="16384" width="9.140625" style="3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G1" s="1" t="s">
        <v>33</v>
      </c>
    </row>
    <row r="2" spans="1:10" x14ac:dyDescent="0.25">
      <c r="A2" s="4">
        <v>101</v>
      </c>
      <c r="B2" s="4" t="s">
        <v>4</v>
      </c>
      <c r="C2" s="4">
        <v>10</v>
      </c>
      <c r="D2" s="4" t="s">
        <v>8</v>
      </c>
    </row>
    <row r="3" spans="1:10" x14ac:dyDescent="0.25">
      <c r="A3" s="4">
        <v>102</v>
      </c>
      <c r="B3" s="4" t="s">
        <v>5</v>
      </c>
      <c r="C3" s="4">
        <v>25</v>
      </c>
      <c r="D3" s="4" t="s">
        <v>8</v>
      </c>
      <c r="E3" s="3">
        <v>102</v>
      </c>
      <c r="G3" s="22" t="s">
        <v>34</v>
      </c>
      <c r="H3" s="22"/>
      <c r="I3" s="22"/>
    </row>
    <row r="4" spans="1:10" x14ac:dyDescent="0.25">
      <c r="A4" s="4">
        <v>103</v>
      </c>
      <c r="B4" s="4" t="s">
        <v>6</v>
      </c>
      <c r="C4" s="4">
        <v>5</v>
      </c>
      <c r="D4" s="4" t="s">
        <v>8</v>
      </c>
      <c r="G4" s="5" t="s">
        <v>36</v>
      </c>
      <c r="H4" s="5" t="s">
        <v>2</v>
      </c>
    </row>
    <row r="5" spans="1:10" x14ac:dyDescent="0.25">
      <c r="A5" s="4">
        <v>104</v>
      </c>
      <c r="B5" s="4" t="s">
        <v>7</v>
      </c>
      <c r="C5" s="4">
        <v>15</v>
      </c>
      <c r="D5" s="4" t="s">
        <v>8</v>
      </c>
      <c r="G5" s="6">
        <v>104</v>
      </c>
      <c r="H5" s="8">
        <f>VLOOKUP(G5,A1:D5,3,0)</f>
        <v>15</v>
      </c>
    </row>
    <row r="8" spans="1:10" x14ac:dyDescent="0.25">
      <c r="A8" s="3">
        <f>COLUMNS($A$7:A7)</f>
        <v>1</v>
      </c>
      <c r="B8" s="3">
        <f>COLUMNS($A$7:B7)</f>
        <v>2</v>
      </c>
      <c r="C8" s="3">
        <f>COLUMNS($A$7:C7)</f>
        <v>3</v>
      </c>
      <c r="D8" s="3">
        <f>COLUMNS($A$7:D7)</f>
        <v>4</v>
      </c>
      <c r="G8" s="22" t="s">
        <v>35</v>
      </c>
      <c r="H8" s="22"/>
      <c r="I8" s="22"/>
      <c r="J8" s="22"/>
    </row>
    <row r="9" spans="1:10" x14ac:dyDescent="0.25">
      <c r="A9" s="22" t="s">
        <v>40</v>
      </c>
      <c r="B9" s="22"/>
      <c r="C9" s="22"/>
      <c r="D9" s="22"/>
      <c r="G9" s="5" t="s">
        <v>36</v>
      </c>
      <c r="H9" s="1" t="s">
        <v>1</v>
      </c>
    </row>
    <row r="10" spans="1:10" x14ac:dyDescent="0.25">
      <c r="A10" s="1" t="s">
        <v>0</v>
      </c>
      <c r="B10" s="1" t="s">
        <v>1</v>
      </c>
      <c r="C10" s="1" t="s">
        <v>2</v>
      </c>
      <c r="D10" s="1" t="s">
        <v>3</v>
      </c>
      <c r="G10" s="6">
        <v>108</v>
      </c>
      <c r="H10" s="8" t="str">
        <f>IFERROR(VLOOKUP(G10,A1:D5,2,0),"Not Found")</f>
        <v>Not Found</v>
      </c>
    </row>
    <row r="11" spans="1:10" x14ac:dyDescent="0.25">
      <c r="A11" s="6">
        <v>101</v>
      </c>
      <c r="B11" s="8" t="str">
        <f>VLOOKUP($A$11,$A$1:$D$5,COLUMNS($A$10:B10),0)</f>
        <v>Pen</v>
      </c>
      <c r="C11" s="8">
        <f>VLOOKUP($A$11,$A$1:$D$5,COLUMNS($A$10:C10),0)</f>
        <v>10</v>
      </c>
      <c r="D11" s="8" t="str">
        <f>VLOOKUP($A$11,$A$1:$D$5,COLUMNS($A$10:D10),0)</f>
        <v>Stationery</v>
      </c>
      <c r="H11" s="3" t="e">
        <f>VLOOKUP(G10,A1:D5,2,0)</f>
        <v>#N/A</v>
      </c>
    </row>
    <row r="13" spans="1:10" x14ac:dyDescent="0.25">
      <c r="A13" s="23" t="s">
        <v>42</v>
      </c>
      <c r="B13" s="23"/>
      <c r="C13" s="23"/>
      <c r="D13" s="23"/>
      <c r="E13" s="23"/>
    </row>
  </sheetData>
  <mergeCells count="4">
    <mergeCell ref="A9:D9"/>
    <mergeCell ref="G3:I3"/>
    <mergeCell ref="G8:J8"/>
    <mergeCell ref="A13:E13"/>
  </mergeCells>
  <dataValidations count="1">
    <dataValidation type="list" allowBlank="1" showInputMessage="1" showErrorMessage="1" sqref="G5 A11" xr:uid="{A2A1B387-306C-4132-8C5A-FAB70B00FB3B}">
      <formula1>$A$2:$A$5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zoomScale="235" zoomScaleNormal="235" workbookViewId="0">
      <selection activeCell="E6" sqref="E6"/>
    </sheetView>
  </sheetViews>
  <sheetFormatPr defaultRowHeight="15" x14ac:dyDescent="0.25"/>
  <cols>
    <col min="1" max="1" width="9" customWidth="1"/>
    <col min="2" max="2" width="5.5703125" bestFit="1" customWidth="1"/>
    <col min="7" max="7" width="11.7109375" customWidth="1"/>
  </cols>
  <sheetData>
    <row r="1" spans="1:10" x14ac:dyDescent="0.25">
      <c r="A1" s="9" t="s">
        <v>9</v>
      </c>
      <c r="B1" s="11" t="s">
        <v>11</v>
      </c>
      <c r="C1" s="11" t="s">
        <v>12</v>
      </c>
      <c r="D1" s="11" t="s">
        <v>13</v>
      </c>
      <c r="E1" s="11" t="s">
        <v>14</v>
      </c>
    </row>
    <row r="2" spans="1:10" x14ac:dyDescent="0.25">
      <c r="A2" s="9" t="s">
        <v>10</v>
      </c>
      <c r="B2" s="10">
        <v>500</v>
      </c>
      <c r="C2" s="10">
        <v>700</v>
      </c>
      <c r="D2" s="10">
        <v>600</v>
      </c>
      <c r="E2" s="10">
        <v>800</v>
      </c>
    </row>
    <row r="3" spans="1:10" x14ac:dyDescent="0.25">
      <c r="A3" s="9" t="s">
        <v>32</v>
      </c>
      <c r="B3" s="10">
        <v>3</v>
      </c>
      <c r="C3" s="10">
        <v>5</v>
      </c>
      <c r="D3" s="10">
        <v>2</v>
      </c>
      <c r="E3" s="10">
        <v>4</v>
      </c>
      <c r="F3" s="24" t="s">
        <v>37</v>
      </c>
      <c r="G3" s="25"/>
      <c r="H3" s="25"/>
      <c r="I3" s="25"/>
    </row>
    <row r="4" spans="1:10" x14ac:dyDescent="0.25">
      <c r="F4" s="1" t="s">
        <v>9</v>
      </c>
      <c r="G4" s="1" t="s">
        <v>10</v>
      </c>
      <c r="H4" s="9" t="s">
        <v>32</v>
      </c>
    </row>
    <row r="5" spans="1:10" x14ac:dyDescent="0.25">
      <c r="F5" s="6" t="s">
        <v>14</v>
      </c>
      <c r="G5" s="6">
        <f>HLOOKUP($F$5,$A$1:$E$3,COLUMNS($F$4:G4),0)</f>
        <v>800</v>
      </c>
      <c r="H5" s="6">
        <f>HLOOKUP($F$5,$A$1:$E$3,COLUMNS($F$4:H4),0)</f>
        <v>4</v>
      </c>
    </row>
    <row r="7" spans="1:10" x14ac:dyDescent="0.25">
      <c r="C7" s="1" t="s">
        <v>9</v>
      </c>
      <c r="D7" s="1" t="s">
        <v>10</v>
      </c>
      <c r="F7" s="26" t="s">
        <v>43</v>
      </c>
      <c r="G7" s="26"/>
      <c r="H7" s="26"/>
      <c r="I7" s="26"/>
      <c r="J7" s="26"/>
    </row>
    <row r="8" spans="1:10" x14ac:dyDescent="0.25">
      <c r="C8" s="2" t="s">
        <v>11</v>
      </c>
      <c r="D8" s="2">
        <v>500</v>
      </c>
    </row>
    <row r="9" spans="1:10" x14ac:dyDescent="0.25">
      <c r="C9" s="2" t="s">
        <v>12</v>
      </c>
      <c r="D9" s="2">
        <v>700</v>
      </c>
    </row>
    <row r="10" spans="1:10" x14ac:dyDescent="0.25">
      <c r="C10" s="2" t="s">
        <v>13</v>
      </c>
      <c r="D10" s="2">
        <v>600</v>
      </c>
    </row>
    <row r="11" spans="1:10" x14ac:dyDescent="0.25">
      <c r="C11" s="2" t="s">
        <v>14</v>
      </c>
      <c r="D11" s="2">
        <v>800</v>
      </c>
    </row>
  </sheetData>
  <mergeCells count="2">
    <mergeCell ref="F3:I3"/>
    <mergeCell ref="F7:J7"/>
  </mergeCells>
  <dataValidations count="1">
    <dataValidation type="list" allowBlank="1" showInputMessage="1" showErrorMessage="1" sqref="F5" xr:uid="{6B0827AD-4D8E-427B-9A63-D443085EADC0}">
      <formula1>$B$1:$E$1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zoomScale="145" zoomScaleNormal="145" workbookViewId="0">
      <selection activeCell="A10" sqref="A10"/>
    </sheetView>
  </sheetViews>
  <sheetFormatPr defaultRowHeight="15" x14ac:dyDescent="0.25"/>
  <cols>
    <col min="1" max="1" width="11.7109375" style="3" bestFit="1" customWidth="1"/>
    <col min="2" max="2" width="13.85546875" style="3" customWidth="1"/>
    <col min="3" max="3" width="11.7109375" style="3" bestFit="1" customWidth="1"/>
    <col min="4" max="4" width="10.42578125" style="3" customWidth="1"/>
    <col min="5" max="5" width="11.42578125" style="3" bestFit="1" customWidth="1"/>
    <col min="6" max="6" width="9.140625" style="3"/>
    <col min="7" max="7" width="13.140625" style="3" customWidth="1"/>
    <col min="8" max="8" width="12.5703125" style="3" customWidth="1"/>
    <col min="9" max="16384" width="9.140625" style="3"/>
  </cols>
  <sheetData>
    <row r="1" spans="1:9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9" x14ac:dyDescent="0.25">
      <c r="A2" s="4">
        <v>201</v>
      </c>
      <c r="B2" s="4" t="s">
        <v>20</v>
      </c>
      <c r="C2" s="4" t="s">
        <v>24</v>
      </c>
      <c r="D2" s="4">
        <v>50000</v>
      </c>
      <c r="E2" s="4" t="s">
        <v>28</v>
      </c>
      <c r="G2" s="22" t="s">
        <v>38</v>
      </c>
      <c r="H2" s="22"/>
      <c r="I2" s="22"/>
    </row>
    <row r="3" spans="1:9" x14ac:dyDescent="0.25">
      <c r="A3" s="4">
        <v>202</v>
      </c>
      <c r="B3" s="4" t="s">
        <v>21</v>
      </c>
      <c r="C3" s="4" t="s">
        <v>25</v>
      </c>
      <c r="D3" s="4">
        <v>60000</v>
      </c>
      <c r="E3" s="4" t="s">
        <v>29</v>
      </c>
      <c r="G3" s="1" t="s">
        <v>15</v>
      </c>
      <c r="H3" s="1" t="s">
        <v>16</v>
      </c>
    </row>
    <row r="4" spans="1:9" x14ac:dyDescent="0.25">
      <c r="A4" s="4">
        <v>203</v>
      </c>
      <c r="B4" s="4" t="s">
        <v>22</v>
      </c>
      <c r="C4" s="4" t="s">
        <v>26</v>
      </c>
      <c r="D4" s="4">
        <v>55000</v>
      </c>
      <c r="E4" s="4" t="s">
        <v>30</v>
      </c>
      <c r="G4" s="6">
        <v>208</v>
      </c>
      <c r="H4" s="6" t="str">
        <f>_xlfn.XLOOKUP(G4,A2:A5,B2:B5,"Not Found")</f>
        <v>Not Found</v>
      </c>
    </row>
    <row r="5" spans="1:9" x14ac:dyDescent="0.25">
      <c r="A5" s="4">
        <v>204</v>
      </c>
      <c r="B5" s="4" t="s">
        <v>23</v>
      </c>
      <c r="C5" s="4" t="s">
        <v>27</v>
      </c>
      <c r="D5" s="4">
        <v>58000</v>
      </c>
      <c r="E5" s="4" t="s">
        <v>31</v>
      </c>
    </row>
    <row r="6" spans="1:9" x14ac:dyDescent="0.25">
      <c r="G6" s="22" t="s">
        <v>39</v>
      </c>
      <c r="H6" s="22"/>
      <c r="I6" s="22"/>
    </row>
    <row r="7" spans="1:9" x14ac:dyDescent="0.25">
      <c r="A7" s="22" t="s">
        <v>41</v>
      </c>
      <c r="B7" s="22"/>
      <c r="C7" s="22"/>
      <c r="G7" s="1" t="s">
        <v>16</v>
      </c>
      <c r="H7" s="1" t="s">
        <v>18</v>
      </c>
    </row>
    <row r="8" spans="1:9" x14ac:dyDescent="0.2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G8" s="6" t="s">
        <v>22</v>
      </c>
      <c r="H8" s="6">
        <f>_xlfn.XLOOKUP(G8,B2:B5,D2:D5)</f>
        <v>55000</v>
      </c>
    </row>
    <row r="9" spans="1:9" x14ac:dyDescent="0.25">
      <c r="A9" s="6">
        <v>202</v>
      </c>
      <c r="B9" s="6" t="str" cm="1">
        <f t="array" ref="B9:E9">_xlfn.XLOOKUP(A9,A2:A5,B2:E5,"Not Found")</f>
        <v>Bob</v>
      </c>
      <c r="C9" s="7" t="str">
        <v>Finance</v>
      </c>
      <c r="D9" s="7">
        <v>60000</v>
      </c>
      <c r="E9" s="7" t="str">
        <v>2022-11-05</v>
      </c>
    </row>
    <row r="10" spans="1:9" x14ac:dyDescent="0.25">
      <c r="G10" s="22"/>
      <c r="H10" s="22"/>
      <c r="I10" s="22"/>
    </row>
    <row r="11" spans="1:9" x14ac:dyDescent="0.25">
      <c r="G11" s="5"/>
      <c r="H11" s="5"/>
    </row>
    <row r="12" spans="1:9" x14ac:dyDescent="0.25">
      <c r="G12" s="6"/>
      <c r="H12" s="6"/>
    </row>
  </sheetData>
  <mergeCells count="4">
    <mergeCell ref="A7:C7"/>
    <mergeCell ref="G2:I2"/>
    <mergeCell ref="G6:I6"/>
    <mergeCell ref="G10:I1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AE37-C942-44D9-AFA8-62ABDC05D4D0}">
  <dimension ref="A1:D3"/>
  <sheetViews>
    <sheetView zoomScale="205" zoomScaleNormal="205" workbookViewId="0">
      <selection activeCell="C5" sqref="C5"/>
    </sheetView>
  </sheetViews>
  <sheetFormatPr defaultRowHeight="15" x14ac:dyDescent="0.25"/>
  <cols>
    <col min="2" max="2" width="16.140625" customWidth="1"/>
    <col min="3" max="3" width="19.140625" customWidth="1"/>
    <col min="4" max="4" width="13.5703125" customWidth="1"/>
  </cols>
  <sheetData>
    <row r="1" spans="1:4" x14ac:dyDescent="0.25">
      <c r="A1" s="22" t="s">
        <v>40</v>
      </c>
      <c r="B1" s="22"/>
      <c r="C1" s="22"/>
      <c r="D1" s="22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6">
        <v>103</v>
      </c>
      <c r="B3" s="19" t="str">
        <f>VLOOKUP($A$3,VLOOKUP_Basics!$A$1:$D$5,COLUMNS(VLOOKUP_Basics!$A$1:B1),0)</f>
        <v>Eraser</v>
      </c>
      <c r="C3" s="19">
        <f>VLOOKUP($A$3,VLOOKUP_Basics!$A$1:$D$5,COLUMNS(VLOOKUP_Basics!$A$1:C1),0)</f>
        <v>5</v>
      </c>
      <c r="D3" s="19" t="str">
        <f>VLOOKUP($A$3,VLOOKUP_Basics!$A$1:$D$5,COLUMNS(VLOOKUP_Basics!$A$1:D1),0)</f>
        <v>Stationery</v>
      </c>
    </row>
  </sheetData>
  <mergeCells count="1">
    <mergeCell ref="A1:D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B3B296-705D-4257-B296-CC7470E8BFFF}">
          <x14:formula1>
            <xm:f>VLOOKUP_Basics!$A$2:$A$5</xm:f>
          </x14:formula1>
          <xm:sqref>A3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03EC-73F3-4807-A24B-D5D650856789}">
  <dimension ref="A1:Q13"/>
  <sheetViews>
    <sheetView zoomScale="115" zoomScaleNormal="115" workbookViewId="0">
      <selection activeCell="L8" sqref="L8"/>
    </sheetView>
  </sheetViews>
  <sheetFormatPr defaultRowHeight="15" x14ac:dyDescent="0.25"/>
  <cols>
    <col min="1" max="1" width="14.7109375" bestFit="1" customWidth="1"/>
    <col min="2" max="2" width="15.42578125" bestFit="1" customWidth="1"/>
    <col min="3" max="3" width="14.7109375" bestFit="1" customWidth="1"/>
    <col min="4" max="4" width="12.140625" bestFit="1" customWidth="1"/>
    <col min="5" max="5" width="8.28515625" bestFit="1" customWidth="1"/>
    <col min="6" max="6" width="14.5703125" bestFit="1" customWidth="1"/>
    <col min="7" max="7" width="4.85546875" customWidth="1"/>
    <col min="8" max="8" width="13.5703125" customWidth="1"/>
    <col min="9" max="9" width="15.85546875" customWidth="1"/>
    <col min="10" max="10" width="9.140625" customWidth="1"/>
    <col min="11" max="11" width="7" customWidth="1"/>
    <col min="12" max="12" width="10.5703125" customWidth="1"/>
    <col min="13" max="13" width="16.5703125" customWidth="1"/>
    <col min="14" max="14" width="15" customWidth="1"/>
    <col min="16" max="16" width="12.42578125" customWidth="1"/>
    <col min="17" max="17" width="18.42578125" customWidth="1"/>
  </cols>
  <sheetData>
    <row r="1" spans="1:17" ht="18" thickBot="1" x14ac:dyDescent="0.3">
      <c r="A1" s="13" t="s">
        <v>15</v>
      </c>
      <c r="B1" s="13" t="s">
        <v>16</v>
      </c>
      <c r="C1" s="13" t="s">
        <v>17</v>
      </c>
      <c r="D1" s="13" t="s">
        <v>49</v>
      </c>
      <c r="E1" s="13" t="s">
        <v>18</v>
      </c>
      <c r="F1" s="13" t="s">
        <v>62</v>
      </c>
      <c r="H1" s="15" t="s">
        <v>17</v>
      </c>
      <c r="I1" s="16" t="s">
        <v>10</v>
      </c>
      <c r="J1" s="16" t="s">
        <v>24</v>
      </c>
      <c r="K1" s="16" t="s">
        <v>26</v>
      </c>
      <c r="L1" s="16" t="s">
        <v>25</v>
      </c>
      <c r="M1" s="16" t="s">
        <v>27</v>
      </c>
    </row>
    <row r="2" spans="1:17" ht="18" thickBot="1" x14ac:dyDescent="0.3">
      <c r="A2" s="12" t="s">
        <v>44</v>
      </c>
      <c r="B2" s="12" t="s">
        <v>50</v>
      </c>
      <c r="C2" s="12" t="s">
        <v>10</v>
      </c>
      <c r="D2" s="12" t="s">
        <v>51</v>
      </c>
      <c r="E2" s="12">
        <v>45000</v>
      </c>
      <c r="F2" s="12">
        <v>2019</v>
      </c>
      <c r="H2" s="17" t="s">
        <v>68</v>
      </c>
      <c r="I2" s="14"/>
      <c r="J2" s="14"/>
      <c r="K2" s="14"/>
      <c r="L2" s="14"/>
      <c r="M2" s="14"/>
    </row>
    <row r="3" spans="1:17" ht="18" thickBot="1" x14ac:dyDescent="0.3">
      <c r="A3" s="12" t="s">
        <v>45</v>
      </c>
      <c r="B3" s="12" t="s">
        <v>52</v>
      </c>
      <c r="C3" s="12" t="s">
        <v>24</v>
      </c>
      <c r="D3" s="12" t="s">
        <v>53</v>
      </c>
      <c r="E3" s="12">
        <v>52000</v>
      </c>
      <c r="F3" s="12">
        <v>2018</v>
      </c>
    </row>
    <row r="4" spans="1:17" ht="18" thickBot="1" x14ac:dyDescent="0.3">
      <c r="A4" s="12" t="s">
        <v>46</v>
      </c>
      <c r="B4" s="12" t="s">
        <v>54</v>
      </c>
      <c r="C4" s="12" t="s">
        <v>26</v>
      </c>
      <c r="D4" s="12" t="s">
        <v>55</v>
      </c>
      <c r="E4" s="12">
        <v>65000</v>
      </c>
      <c r="F4" s="12">
        <v>2020</v>
      </c>
    </row>
    <row r="5" spans="1:17" ht="18" thickBot="1" x14ac:dyDescent="0.3">
      <c r="A5" s="12" t="s">
        <v>47</v>
      </c>
      <c r="B5" s="12" t="s">
        <v>56</v>
      </c>
      <c r="C5" s="12" t="s">
        <v>25</v>
      </c>
      <c r="D5" s="12" t="s">
        <v>57</v>
      </c>
      <c r="E5" s="12">
        <v>58000</v>
      </c>
      <c r="F5" s="12">
        <v>2017</v>
      </c>
      <c r="I5" s="13" t="s">
        <v>15</v>
      </c>
      <c r="J5" s="13" t="s">
        <v>18</v>
      </c>
      <c r="M5" s="20" t="s">
        <v>15</v>
      </c>
      <c r="N5" s="20" t="s">
        <v>17</v>
      </c>
      <c r="O5" s="20" t="s">
        <v>18</v>
      </c>
      <c r="P5" s="20" t="s">
        <v>68</v>
      </c>
      <c r="Q5" s="20" t="s">
        <v>70</v>
      </c>
    </row>
    <row r="6" spans="1:17" ht="18" thickBot="1" x14ac:dyDescent="0.3">
      <c r="A6" s="12" t="s">
        <v>48</v>
      </c>
      <c r="B6" s="12" t="s">
        <v>58</v>
      </c>
      <c r="C6" s="12" t="s">
        <v>27</v>
      </c>
      <c r="D6" s="12" t="s">
        <v>51</v>
      </c>
      <c r="E6" s="12">
        <v>48000</v>
      </c>
      <c r="F6" s="12">
        <v>2021</v>
      </c>
      <c r="O6" t="e">
        <f>VLOOKUP($M$6,$A$1:$F$9,5,0)</f>
        <v>#N/A</v>
      </c>
      <c r="P6" s="21" t="e">
        <f>HLOOKUP(N6,H1:M2,2,0)</f>
        <v>#N/A</v>
      </c>
      <c r="Q6" t="e">
        <f>O6*P6</f>
        <v>#N/A</v>
      </c>
    </row>
    <row r="7" spans="1:17" ht="18" thickBot="1" x14ac:dyDescent="0.3">
      <c r="A7" s="12" t="s">
        <v>59</v>
      </c>
      <c r="B7" s="12" t="s">
        <v>60</v>
      </c>
      <c r="C7" s="12" t="s">
        <v>26</v>
      </c>
      <c r="D7" s="12" t="s">
        <v>61</v>
      </c>
      <c r="E7" s="12">
        <v>62000</v>
      </c>
      <c r="F7" s="12">
        <v>2019</v>
      </c>
    </row>
    <row r="8" spans="1:17" ht="18" thickBot="1" x14ac:dyDescent="0.3">
      <c r="A8" s="12" t="s">
        <v>63</v>
      </c>
      <c r="B8" s="12" t="s">
        <v>64</v>
      </c>
      <c r="C8" s="12" t="s">
        <v>10</v>
      </c>
      <c r="D8" s="12" t="s">
        <v>65</v>
      </c>
      <c r="E8" s="12">
        <v>47000</v>
      </c>
      <c r="F8" s="12">
        <v>2020</v>
      </c>
    </row>
    <row r="9" spans="1:17" ht="18" thickBot="1" x14ac:dyDescent="0.3">
      <c r="A9" s="12" t="s">
        <v>66</v>
      </c>
      <c r="B9" s="12" t="s">
        <v>67</v>
      </c>
      <c r="C9" s="12" t="s">
        <v>24</v>
      </c>
      <c r="D9" s="12" t="s">
        <v>55</v>
      </c>
      <c r="E9" s="12">
        <v>54000</v>
      </c>
      <c r="F9" s="12">
        <v>2016</v>
      </c>
      <c r="H9" s="15" t="s">
        <v>17</v>
      </c>
    </row>
    <row r="10" spans="1:17" ht="18" thickBot="1" x14ac:dyDescent="0.3">
      <c r="H10" s="17" t="s">
        <v>68</v>
      </c>
      <c r="I10" s="18"/>
    </row>
    <row r="13" spans="1:17" ht="42.75" customHeight="1" x14ac:dyDescent="0.25">
      <c r="A13" s="27" t="s">
        <v>69</v>
      </c>
      <c r="B13" s="27"/>
      <c r="C13" s="27"/>
    </row>
  </sheetData>
  <mergeCells count="1">
    <mergeCell ref="A13:C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Ref</vt:lpstr>
      <vt:lpstr>VLOOKUP_Basics</vt:lpstr>
      <vt:lpstr>HLOOKUP_Basics</vt:lpstr>
      <vt:lpstr>XLOOKUP_Basics</vt:lpstr>
      <vt:lpstr>Another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Chetan Sharma</cp:lastModifiedBy>
  <dcterms:created xsi:type="dcterms:W3CDTF">2026-01-31T10:41:46Z</dcterms:created>
  <dcterms:modified xsi:type="dcterms:W3CDTF">2026-04-03T06:06:14Z</dcterms:modified>
</cp:coreProperties>
</file>