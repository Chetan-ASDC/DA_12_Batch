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n Sharma\Desktop\ASDC\DA_12_Batch\02Excel\"/>
    </mc:Choice>
  </mc:AlternateContent>
  <xr:revisionPtr revIDLastSave="0" documentId="8_{48F9061D-2873-4E6C-9508-FEB1305D2EE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M Functions" sheetId="1" r:id="rId1"/>
    <sheet name="AVERAGE Functions" sheetId="2" r:id="rId2"/>
    <sheet name="COUNT Fun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6" i="3"/>
  <c r="G4" i="3"/>
  <c r="G5" i="3"/>
  <c r="G6" i="2"/>
  <c r="G7" i="2"/>
  <c r="G5" i="2"/>
  <c r="G9" i="1"/>
  <c r="G8" i="1"/>
  <c r="G7" i="1"/>
  <c r="G6" i="1"/>
</calcChain>
</file>

<file path=xl/sharedStrings.xml><?xml version="1.0" encoding="utf-8"?>
<sst xmlns="http://schemas.openxmlformats.org/spreadsheetml/2006/main" count="72" uniqueCount="26">
  <si>
    <t>Student</t>
  </si>
  <si>
    <t>Marks</t>
  </si>
  <si>
    <t>Attendance</t>
  </si>
  <si>
    <t>Class</t>
  </si>
  <si>
    <t>Total Marks</t>
  </si>
  <si>
    <t>Total Attendance</t>
  </si>
  <si>
    <t>Total Marks Class A</t>
  </si>
  <si>
    <t>Total Marks &gt;70 Class A</t>
  </si>
  <si>
    <t>Aman</t>
  </si>
  <si>
    <t>Ritu</t>
  </si>
  <si>
    <t>Ravi</t>
  </si>
  <si>
    <t>Sita</t>
  </si>
  <si>
    <t>Neha</t>
  </si>
  <si>
    <t>Raj</t>
  </si>
  <si>
    <t>Priya</t>
  </si>
  <si>
    <t>Karan</t>
  </si>
  <si>
    <t>A</t>
  </si>
  <si>
    <t>B</t>
  </si>
  <si>
    <t>Average Marks</t>
  </si>
  <si>
    <t>Average Marks Class A</t>
  </si>
  <si>
    <t>Average Marks &gt;70</t>
  </si>
  <si>
    <t>Count Students</t>
  </si>
  <si>
    <t>Count Students Class B</t>
  </si>
  <si>
    <t>Count Marks &gt;50</t>
  </si>
  <si>
    <t>Count Marks&gt;50 Class A</t>
  </si>
  <si>
    <t>Count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</si>
</sst>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60" zoomScaleNormal="160" workbookViewId="0">
      <selection activeCell="G10" sqref="G10"/>
    </sheetView>
  </sheetViews>
  <sheetFormatPr defaultRowHeight="15" x14ac:dyDescent="0.25"/>
  <cols>
    <col min="1" max="1" width="8" bestFit="1" customWidth="1"/>
    <col min="2" max="2" width="6.42578125" bestFit="1" customWidth="1"/>
    <col min="3" max="3" width="11.28515625" bestFit="1" customWidth="1"/>
    <col min="4" max="4" width="5.42578125" bestFit="1" customWidth="1"/>
    <col min="5" max="5" width="11.28515625" bestFit="1" customWidth="1"/>
    <col min="6" max="6" width="21.7109375" bestFit="1" customWidth="1"/>
    <col min="7" max="7" width="18.140625" bestFit="1" customWidth="1"/>
    <col min="8" max="8" width="2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</row>
    <row r="2" spans="1:8" x14ac:dyDescent="0.25">
      <c r="A2" s="2" t="s">
        <v>8</v>
      </c>
      <c r="B2" s="2">
        <v>78</v>
      </c>
      <c r="C2" s="2">
        <v>20</v>
      </c>
      <c r="D2" s="2" t="s">
        <v>16</v>
      </c>
    </row>
    <row r="3" spans="1:8" x14ac:dyDescent="0.25">
      <c r="A3" s="2" t="s">
        <v>9</v>
      </c>
      <c r="B3" s="2">
        <v>85</v>
      </c>
      <c r="C3" s="2">
        <v>22</v>
      </c>
      <c r="D3" s="2" t="s">
        <v>16</v>
      </c>
    </row>
    <row r="4" spans="1:8" x14ac:dyDescent="0.25">
      <c r="A4" s="2" t="s">
        <v>10</v>
      </c>
      <c r="B4" s="2">
        <v>45</v>
      </c>
      <c r="C4" s="2">
        <v>18</v>
      </c>
      <c r="D4" s="2" t="s">
        <v>17</v>
      </c>
    </row>
    <row r="5" spans="1:8" x14ac:dyDescent="0.25">
      <c r="A5" s="2" t="s">
        <v>11</v>
      </c>
      <c r="B5" s="2">
        <v>90</v>
      </c>
      <c r="C5" s="2">
        <v>25</v>
      </c>
      <c r="D5" s="2" t="s">
        <v>16</v>
      </c>
    </row>
    <row r="6" spans="1:8" x14ac:dyDescent="0.25">
      <c r="A6" s="2" t="s">
        <v>12</v>
      </c>
      <c r="B6" s="2">
        <v>60</v>
      </c>
      <c r="C6" s="2">
        <v>19</v>
      </c>
      <c r="D6" s="2" t="s">
        <v>17</v>
      </c>
      <c r="F6" s="1" t="s">
        <v>4</v>
      </c>
      <c r="G6" s="2">
        <f>SUM(B2:B9)</f>
        <v>573</v>
      </c>
    </row>
    <row r="7" spans="1:8" x14ac:dyDescent="0.25">
      <c r="A7" s="2" t="s">
        <v>13</v>
      </c>
      <c r="B7" s="2">
        <v>72</v>
      </c>
      <c r="C7" s="2">
        <v>21</v>
      </c>
      <c r="D7" s="2" t="s">
        <v>16</v>
      </c>
      <c r="F7" s="1" t="s">
        <v>5</v>
      </c>
      <c r="G7" s="2">
        <f>SUM(C2:C9)</f>
        <v>165</v>
      </c>
    </row>
    <row r="8" spans="1:8" x14ac:dyDescent="0.25">
      <c r="A8" s="2" t="s">
        <v>14</v>
      </c>
      <c r="B8" s="2">
        <v>55</v>
      </c>
      <c r="C8" s="2">
        <v>17</v>
      </c>
      <c r="D8" s="2" t="s">
        <v>17</v>
      </c>
      <c r="F8" s="1" t="s">
        <v>6</v>
      </c>
      <c r="G8" s="2">
        <f>SUMIF(D2:D9,"A",B2:B9)</f>
        <v>413</v>
      </c>
    </row>
    <row r="9" spans="1:8" x14ac:dyDescent="0.25">
      <c r="A9" s="2" t="s">
        <v>15</v>
      </c>
      <c r="B9" s="2">
        <v>88</v>
      </c>
      <c r="C9" s="2">
        <v>23</v>
      </c>
      <c r="D9" s="2" t="s">
        <v>16</v>
      </c>
      <c r="F9" s="1" t="s">
        <v>7</v>
      </c>
      <c r="G9" s="2">
        <f>SUMIFS(B2:B9,B2:B9,"&gt;80",D2:D9,"A")</f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="205" zoomScaleNormal="205" workbookViewId="0">
      <selection activeCell="G9" sqref="G9"/>
    </sheetView>
  </sheetViews>
  <sheetFormatPr defaultRowHeight="15" x14ac:dyDescent="0.25"/>
  <cols>
    <col min="1" max="1" width="8" bestFit="1" customWidth="1"/>
    <col min="2" max="2" width="6.42578125" bestFit="1" customWidth="1"/>
    <col min="3" max="3" width="11.28515625" bestFit="1" customWidth="1"/>
    <col min="4" max="4" width="5.42578125" bestFit="1" customWidth="1"/>
    <col min="5" max="5" width="14.28515625" bestFit="1" customWidth="1"/>
    <col min="6" max="6" width="21" bestFit="1" customWidth="1"/>
    <col min="7" max="7" width="1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3"/>
      <c r="F1" s="1"/>
      <c r="G1" s="1"/>
    </row>
    <row r="2" spans="1:7" x14ac:dyDescent="0.25">
      <c r="A2" s="2" t="s">
        <v>8</v>
      </c>
      <c r="B2" s="2">
        <v>78</v>
      </c>
      <c r="C2" s="2">
        <v>20</v>
      </c>
      <c r="D2" s="2" t="s">
        <v>16</v>
      </c>
    </row>
    <row r="3" spans="1:7" x14ac:dyDescent="0.25">
      <c r="A3" s="2" t="s">
        <v>9</v>
      </c>
      <c r="B3" s="2">
        <v>85</v>
      </c>
      <c r="C3" s="2">
        <v>22</v>
      </c>
      <c r="D3" s="2" t="s">
        <v>16</v>
      </c>
    </row>
    <row r="4" spans="1:7" x14ac:dyDescent="0.25">
      <c r="A4" s="2" t="s">
        <v>10</v>
      </c>
      <c r="B4" s="2">
        <v>45</v>
      </c>
      <c r="C4" s="2">
        <v>18</v>
      </c>
      <c r="D4" s="2" t="s">
        <v>17</v>
      </c>
    </row>
    <row r="5" spans="1:7" x14ac:dyDescent="0.25">
      <c r="A5" s="2" t="s">
        <v>11</v>
      </c>
      <c r="B5" s="2">
        <v>90</v>
      </c>
      <c r="C5" s="2">
        <v>25</v>
      </c>
      <c r="D5" s="2" t="s">
        <v>16</v>
      </c>
      <c r="F5" s="1" t="s">
        <v>18</v>
      </c>
      <c r="G5" s="2">
        <f>AVERAGE(B2:B9)</f>
        <v>71.625</v>
      </c>
    </row>
    <row r="6" spans="1:7" x14ac:dyDescent="0.25">
      <c r="A6" s="2" t="s">
        <v>12</v>
      </c>
      <c r="B6" s="2">
        <v>60</v>
      </c>
      <c r="C6" s="2">
        <v>19</v>
      </c>
      <c r="D6" s="2" t="s">
        <v>17</v>
      </c>
      <c r="F6" s="1" t="s">
        <v>19</v>
      </c>
      <c r="G6" s="5">
        <f>AVERAGEIF(D2:D9,"B",B2:B9)</f>
        <v>53.333333333333336</v>
      </c>
    </row>
    <row r="7" spans="1:7" x14ac:dyDescent="0.25">
      <c r="A7" s="2" t="s">
        <v>13</v>
      </c>
      <c r="B7" s="2">
        <v>72</v>
      </c>
      <c r="C7" s="2">
        <v>21</v>
      </c>
      <c r="D7" s="2" t="s">
        <v>16</v>
      </c>
      <c r="F7" s="1" t="s">
        <v>20</v>
      </c>
      <c r="G7" s="2">
        <f>AVERAGEIF(B2:B9,"&gt;70")</f>
        <v>82.6</v>
      </c>
    </row>
    <row r="8" spans="1:7" x14ac:dyDescent="0.25">
      <c r="A8" s="2" t="s">
        <v>14</v>
      </c>
      <c r="B8" s="2">
        <v>55</v>
      </c>
      <c r="C8" s="2">
        <v>17</v>
      </c>
      <c r="D8" s="2" t="s">
        <v>17</v>
      </c>
    </row>
    <row r="9" spans="1:7" x14ac:dyDescent="0.25">
      <c r="A9" s="2" t="s">
        <v>15</v>
      </c>
      <c r="B9" s="2">
        <v>88</v>
      </c>
      <c r="C9" s="2">
        <v>23</v>
      </c>
      <c r="D9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zoomScale="175" zoomScaleNormal="175" workbookViewId="0">
      <selection activeCell="F11" sqref="F11"/>
    </sheetView>
  </sheetViews>
  <sheetFormatPr defaultRowHeight="15" x14ac:dyDescent="0.25"/>
  <cols>
    <col min="1" max="1" width="8" bestFit="1" customWidth="1"/>
    <col min="2" max="2" width="6.42578125" bestFit="1" customWidth="1"/>
    <col min="3" max="3" width="11.28515625" bestFit="1" customWidth="1"/>
    <col min="4" max="4" width="5.42578125" bestFit="1" customWidth="1"/>
    <col min="5" max="5" width="14.7109375" bestFit="1" customWidth="1"/>
    <col min="6" max="6" width="21.42578125" bestFit="1" customWidth="1"/>
    <col min="7" max="7" width="15.7109375" bestFit="1" customWidth="1"/>
    <col min="8" max="8" width="22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3"/>
      <c r="F1" s="1"/>
      <c r="G1" s="1"/>
      <c r="H1" s="1"/>
    </row>
    <row r="2" spans="1:8" x14ac:dyDescent="0.25">
      <c r="A2" s="2" t="s">
        <v>8</v>
      </c>
      <c r="B2" s="2">
        <v>78</v>
      </c>
      <c r="C2" s="2">
        <v>20</v>
      </c>
      <c r="D2" s="2" t="s">
        <v>16</v>
      </c>
    </row>
    <row r="3" spans="1:8" x14ac:dyDescent="0.25">
      <c r="A3" s="2" t="s">
        <v>9</v>
      </c>
      <c r="B3" s="2">
        <v>85</v>
      </c>
      <c r="C3" s="2">
        <v>22</v>
      </c>
      <c r="D3" s="2" t="s">
        <v>16</v>
      </c>
    </row>
    <row r="4" spans="1:8" x14ac:dyDescent="0.25">
      <c r="A4" s="2" t="s">
        <v>10</v>
      </c>
      <c r="B4" s="2">
        <v>45</v>
      </c>
      <c r="C4" s="2">
        <v>18</v>
      </c>
      <c r="D4" s="2" t="s">
        <v>17</v>
      </c>
      <c r="F4" s="6" t="s">
        <v>25</v>
      </c>
      <c r="G4" s="2">
        <f>COUNTBLANK(C2:C9)</f>
        <v>1</v>
      </c>
    </row>
    <row r="5" spans="1:8" x14ac:dyDescent="0.25">
      <c r="A5" s="2" t="s">
        <v>11</v>
      </c>
      <c r="B5" s="2">
        <v>90</v>
      </c>
      <c r="C5" s="2"/>
      <c r="D5" s="2" t="s">
        <v>16</v>
      </c>
      <c r="F5" s="1" t="s">
        <v>21</v>
      </c>
      <c r="G5" s="2">
        <f>COUNTA(A2:A9)</f>
        <v>8</v>
      </c>
    </row>
    <row r="6" spans="1:8" x14ac:dyDescent="0.25">
      <c r="A6" s="2" t="s">
        <v>12</v>
      </c>
      <c r="B6" s="2">
        <v>60</v>
      </c>
      <c r="C6" s="2">
        <v>19</v>
      </c>
      <c r="D6" s="2" t="s">
        <v>17</v>
      </c>
      <c r="F6" s="1" t="s">
        <v>22</v>
      </c>
      <c r="G6" s="2">
        <f>COUNTIF(D2:D9,"B")</f>
        <v>3</v>
      </c>
    </row>
    <row r="7" spans="1:8" x14ac:dyDescent="0.25">
      <c r="A7" s="2" t="s">
        <v>13</v>
      </c>
      <c r="B7" s="2">
        <v>72</v>
      </c>
      <c r="C7" s="2">
        <v>21</v>
      </c>
      <c r="D7" s="2" t="s">
        <v>16</v>
      </c>
      <c r="F7" s="1" t="s">
        <v>23</v>
      </c>
      <c r="G7" s="2">
        <f>COUNTIF(B2:B9,"&gt;50")</f>
        <v>7</v>
      </c>
    </row>
    <row r="8" spans="1:8" x14ac:dyDescent="0.25">
      <c r="A8" s="2" t="s">
        <v>14</v>
      </c>
      <c r="B8" s="2">
        <v>55</v>
      </c>
      <c r="C8" s="2">
        <v>17</v>
      </c>
      <c r="D8" s="2" t="s">
        <v>17</v>
      </c>
      <c r="F8" s="1" t="s">
        <v>24</v>
      </c>
      <c r="G8" s="2">
        <f>COUNTIFS(B2:B9,"&gt;50",D2:D9,"A")</f>
        <v>5</v>
      </c>
    </row>
    <row r="9" spans="1:8" x14ac:dyDescent="0.25">
      <c r="A9" s="2" t="s">
        <v>15</v>
      </c>
      <c r="B9" s="2">
        <v>88</v>
      </c>
      <c r="C9" s="2">
        <v>23</v>
      </c>
      <c r="D9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 Functions</vt:lpstr>
      <vt:lpstr>AVERAGE Functions</vt:lpstr>
      <vt:lpstr>COUNT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2026-04-03T12:51:25Z</dcterms:created>
  <dcterms:modified xsi:type="dcterms:W3CDTF">2026-04-03T13:14:44Z</dcterms:modified>
</cp:coreProperties>
</file>